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64374A4B-5B71-4CA1-AF3B-F6C05DF38BAD}" xr6:coauthVersionLast="47" xr6:coauthVersionMax="47" xr10:uidLastSave="{00000000-0000-0000-0000-000000000000}"/>
  <bookViews>
    <workbookView xWindow="-110" yWindow="-110" windowWidth="19420" windowHeight="10300" activeTab="3" xr2:uid="{4C369AE4-D4B8-4C92-8C92-75F80CAFE8C1}"/>
  </bookViews>
  <sheets>
    <sheet name="בשרוני" sheetId="1" r:id="rId1"/>
    <sheet name="ויה איטלי" sheetId="2" r:id="rId2"/>
    <sheet name="הירוקה" sheetId="3" r:id="rId3"/>
    <sheet name="בשרוני-חדש" sheetId="5" r:id="rId4"/>
  </sheets>
  <definedNames>
    <definedName name="solver_adj" localSheetId="0" hidden="1">בשרוני!$D$1:$D$5</definedName>
    <definedName name="solver_adj" localSheetId="3" hidden="1">'בשרוני-חדש'!$E$2:$J$6</definedName>
    <definedName name="solver_adj" localSheetId="2" hidden="1">הירוקה!$D$1:$D$4</definedName>
    <definedName name="solver_adj" localSheetId="1" hidden="1">'ויה איטלי'!$D$1:$D$5</definedName>
    <definedName name="solver_cvg" localSheetId="0" hidden="1">0.0001</definedName>
    <definedName name="solver_cvg" localSheetId="3" hidden="1">0.0001</definedName>
    <definedName name="solver_cvg" localSheetId="2" hidden="1">0.0001</definedName>
    <definedName name="solver_cvg" localSheetId="1" hidden="1">0.0001</definedName>
    <definedName name="solver_drv" localSheetId="0" hidden="1">1</definedName>
    <definedName name="solver_drv" localSheetId="3" hidden="1">1</definedName>
    <definedName name="solver_drv" localSheetId="2" hidden="1">1</definedName>
    <definedName name="solver_drv" localSheetId="1" hidden="1">1</definedName>
    <definedName name="solver_eng" localSheetId="0" hidden="1">2</definedName>
    <definedName name="solver_eng" localSheetId="3" hidden="1">2</definedName>
    <definedName name="solver_eng" localSheetId="2" hidden="1">2</definedName>
    <definedName name="solver_eng" localSheetId="1" hidden="1">2</definedName>
    <definedName name="solver_est" localSheetId="0" hidden="1">1</definedName>
    <definedName name="solver_est" localSheetId="3" hidden="1">1</definedName>
    <definedName name="solver_est" localSheetId="2" hidden="1">1</definedName>
    <definedName name="solver_est" localSheetId="1" hidden="1">1</definedName>
    <definedName name="solver_itr" localSheetId="0" hidden="1">2147483647</definedName>
    <definedName name="solver_itr" localSheetId="3" hidden="1">2147483647</definedName>
    <definedName name="solver_itr" localSheetId="2" hidden="1">2147483647</definedName>
    <definedName name="solver_itr" localSheetId="1" hidden="1">2147483647</definedName>
    <definedName name="solver_lhs1" localSheetId="0" hidden="1">בשרוני!$D$1:$D$5</definedName>
    <definedName name="solver_lhs1" localSheetId="3" hidden="1">'בשרוני-חדש'!$E$2:$J$6</definedName>
    <definedName name="solver_lhs1" localSheetId="2" hidden="1">הירוקה!$D$1:$D$4</definedName>
    <definedName name="solver_lhs1" localSheetId="1" hidden="1">'ויה איטלי'!$D$1:$D$5</definedName>
    <definedName name="solver_lhs2" localSheetId="0" hidden="1">בשרוני!$D$1:$D$5</definedName>
    <definedName name="solver_lhs2" localSheetId="3" hidden="1">'בשרוני-חדש'!$E$7:$J$7</definedName>
    <definedName name="solver_lhs2" localSheetId="2" hidden="1">הירוקה!$D$1:$D$4</definedName>
    <definedName name="solver_lhs2" localSheetId="1" hidden="1">'ויה איטלי'!$D$1:$D$5</definedName>
    <definedName name="solver_lhs3" localSheetId="0" hidden="1">בשרוני!$G$2</definedName>
    <definedName name="solver_lhs3" localSheetId="3" hidden="1">'בשרוני-חדש'!$K$2:$K$6</definedName>
    <definedName name="solver_lhs3" localSheetId="2" hidden="1">הירוקה!$G$2</definedName>
    <definedName name="solver_lhs3" localSheetId="1" hidden="1">'ויה איטלי'!$G$2</definedName>
    <definedName name="solver_lhs4" localSheetId="3" hidden="1">'בשרוני-חדש'!$K$7</definedName>
    <definedName name="solver_mip" localSheetId="0" hidden="1">2147483647</definedName>
    <definedName name="solver_mip" localSheetId="3" hidden="1">2147483647</definedName>
    <definedName name="solver_mip" localSheetId="2" hidden="1">2147483647</definedName>
    <definedName name="solver_mip" localSheetId="1" hidden="1">2147483647</definedName>
    <definedName name="solver_mni" localSheetId="0" hidden="1">30</definedName>
    <definedName name="solver_mni" localSheetId="3" hidden="1">30</definedName>
    <definedName name="solver_mni" localSheetId="2" hidden="1">30</definedName>
    <definedName name="solver_mni" localSheetId="1" hidden="1">30</definedName>
    <definedName name="solver_mrt" localSheetId="0" hidden="1">0.075</definedName>
    <definedName name="solver_mrt" localSheetId="3" hidden="1">0.075</definedName>
    <definedName name="solver_mrt" localSheetId="2" hidden="1">0.075</definedName>
    <definedName name="solver_mrt" localSheetId="1" hidden="1">0.075</definedName>
    <definedName name="solver_msl" localSheetId="0" hidden="1">2</definedName>
    <definedName name="solver_msl" localSheetId="3" hidden="1">2</definedName>
    <definedName name="solver_msl" localSheetId="2" hidden="1">2</definedName>
    <definedName name="solver_msl" localSheetId="1" hidden="1">2</definedName>
    <definedName name="solver_neg" localSheetId="0" hidden="1">1</definedName>
    <definedName name="solver_neg" localSheetId="3" hidden="1">1</definedName>
    <definedName name="solver_neg" localSheetId="2" hidden="1">1</definedName>
    <definedName name="solver_neg" localSheetId="1" hidden="1">1</definedName>
    <definedName name="solver_nod" localSheetId="0" hidden="1">2147483647</definedName>
    <definedName name="solver_nod" localSheetId="3" hidden="1">2147483647</definedName>
    <definedName name="solver_nod" localSheetId="2" hidden="1">2147483647</definedName>
    <definedName name="solver_nod" localSheetId="1" hidden="1">2147483647</definedName>
    <definedName name="solver_num" localSheetId="0" hidden="1">3</definedName>
    <definedName name="solver_num" localSheetId="3" hidden="1">4</definedName>
    <definedName name="solver_num" localSheetId="2" hidden="1">3</definedName>
    <definedName name="solver_num" localSheetId="1" hidden="1">3</definedName>
    <definedName name="solver_nwt" localSheetId="0" hidden="1">1</definedName>
    <definedName name="solver_nwt" localSheetId="3" hidden="1">1</definedName>
    <definedName name="solver_nwt" localSheetId="2" hidden="1">1</definedName>
    <definedName name="solver_nwt" localSheetId="1" hidden="1">1</definedName>
    <definedName name="solver_opt" localSheetId="0" hidden="1">בשרוני!$G$1</definedName>
    <definedName name="solver_opt" localSheetId="3" hidden="1">'בשרוני-חדש'!$L$2</definedName>
    <definedName name="solver_opt" localSheetId="2" hidden="1">הירוקה!$G$1</definedName>
    <definedName name="solver_opt" localSheetId="1" hidden="1">'ויה איטלי'!$G$1</definedName>
    <definedName name="solver_pre" localSheetId="0" hidden="1">0.000001</definedName>
    <definedName name="solver_pre" localSheetId="3" hidden="1">0.000001</definedName>
    <definedName name="solver_pre" localSheetId="2" hidden="1">0.000001</definedName>
    <definedName name="solver_pre" localSheetId="1" hidden="1">0.000001</definedName>
    <definedName name="solver_rbv" localSheetId="0" hidden="1">1</definedName>
    <definedName name="solver_rbv" localSheetId="3" hidden="1">1</definedName>
    <definedName name="solver_rbv" localSheetId="2" hidden="1">1</definedName>
    <definedName name="solver_rbv" localSheetId="1" hidden="1">1</definedName>
    <definedName name="solver_rel1" localSheetId="0" hidden="1">1</definedName>
    <definedName name="solver_rel1" localSheetId="3" hidden="1">4</definedName>
    <definedName name="solver_rel1" localSheetId="2" hidden="1">1</definedName>
    <definedName name="solver_rel1" localSheetId="1" hidden="1">1</definedName>
    <definedName name="solver_rel2" localSheetId="0" hidden="1">4</definedName>
    <definedName name="solver_rel2" localSheetId="3" hidden="1">1</definedName>
    <definedName name="solver_rel2" localSheetId="2" hidden="1">4</definedName>
    <definedName name="solver_rel2" localSheetId="1" hidden="1">4</definedName>
    <definedName name="solver_rel3" localSheetId="0" hidden="1">1</definedName>
    <definedName name="solver_rel3" localSheetId="3" hidden="1">1</definedName>
    <definedName name="solver_rel3" localSheetId="2" hidden="1">1</definedName>
    <definedName name="solver_rel3" localSheetId="1" hidden="1">1</definedName>
    <definedName name="solver_rel4" localSheetId="3" hidden="1">1</definedName>
    <definedName name="solver_rhs1" localSheetId="0" hidden="1">בשרוני!$E$1:$E$5</definedName>
    <definedName name="solver_rhs1" localSheetId="3" hidden="1">"integer"</definedName>
    <definedName name="solver_rhs1" localSheetId="2" hidden="1">הירוקה!$E$1:$E$4</definedName>
    <definedName name="solver_rhs1" localSheetId="1" hidden="1">'ויה איטלי'!$E$1:$E$5</definedName>
    <definedName name="solver_rhs2" localSheetId="0" hidden="1">"integer"</definedName>
    <definedName name="solver_rhs2" localSheetId="3" hidden="1">120</definedName>
    <definedName name="solver_rhs2" localSheetId="2" hidden="1">"integer"</definedName>
    <definedName name="solver_rhs2" localSheetId="1" hidden="1">"integer"</definedName>
    <definedName name="solver_rhs3" localSheetId="0" hidden="1">480</definedName>
    <definedName name="solver_rhs3" localSheetId="3" hidden="1">'בשרוני-חדש'!$D$2:$D$6</definedName>
    <definedName name="solver_rhs3" localSheetId="2" hidden="1">480</definedName>
    <definedName name="solver_rhs3" localSheetId="1" hidden="1">480</definedName>
    <definedName name="solver_rhs4" localSheetId="3" hidden="1">480</definedName>
    <definedName name="solver_rlx" localSheetId="0" hidden="1">2</definedName>
    <definedName name="solver_rlx" localSheetId="3" hidden="1">2</definedName>
    <definedName name="solver_rlx" localSheetId="2" hidden="1">2</definedName>
    <definedName name="solver_rlx" localSheetId="1" hidden="1">2</definedName>
    <definedName name="solver_rsd" localSheetId="0" hidden="1">0</definedName>
    <definedName name="solver_rsd" localSheetId="3" hidden="1">0</definedName>
    <definedName name="solver_rsd" localSheetId="2" hidden="1">0</definedName>
    <definedName name="solver_rsd" localSheetId="1" hidden="1">0</definedName>
    <definedName name="solver_scl" localSheetId="0" hidden="1">1</definedName>
    <definedName name="solver_scl" localSheetId="3" hidden="1">1</definedName>
    <definedName name="solver_scl" localSheetId="2" hidden="1">1</definedName>
    <definedName name="solver_scl" localSheetId="1" hidden="1">1</definedName>
    <definedName name="solver_sho" localSheetId="0" hidden="1">2</definedName>
    <definedName name="solver_sho" localSheetId="3" hidden="1">2</definedName>
    <definedName name="solver_sho" localSheetId="2" hidden="1">2</definedName>
    <definedName name="solver_sho" localSheetId="1" hidden="1">2</definedName>
    <definedName name="solver_ssz" localSheetId="0" hidden="1">100</definedName>
    <definedName name="solver_ssz" localSheetId="3" hidden="1">100</definedName>
    <definedName name="solver_ssz" localSheetId="2" hidden="1">100</definedName>
    <definedName name="solver_ssz" localSheetId="1" hidden="1">100</definedName>
    <definedName name="solver_tim" localSheetId="0" hidden="1">2147483647</definedName>
    <definedName name="solver_tim" localSheetId="3" hidden="1">2147483647</definedName>
    <definedName name="solver_tim" localSheetId="2" hidden="1">2147483647</definedName>
    <definedName name="solver_tim" localSheetId="1" hidden="1">2147483647</definedName>
    <definedName name="solver_tol" localSheetId="0" hidden="1">0</definedName>
    <definedName name="solver_tol" localSheetId="3" hidden="1">0</definedName>
    <definedName name="solver_tol" localSheetId="2" hidden="1">0.01</definedName>
    <definedName name="solver_tol" localSheetId="1" hidden="1">0</definedName>
    <definedName name="solver_typ" localSheetId="0" hidden="1">1</definedName>
    <definedName name="solver_typ" localSheetId="3" hidden="1">1</definedName>
    <definedName name="solver_typ" localSheetId="2" hidden="1">1</definedName>
    <definedName name="solver_typ" localSheetId="1" hidden="1">1</definedName>
    <definedName name="solver_val" localSheetId="0" hidden="1">0</definedName>
    <definedName name="solver_val" localSheetId="3" hidden="1">0</definedName>
    <definedName name="solver_val" localSheetId="2" hidden="1">0</definedName>
    <definedName name="solver_val" localSheetId="1" hidden="1">0</definedName>
    <definedName name="solver_ver" localSheetId="0" hidden="1">3</definedName>
    <definedName name="solver_ver" localSheetId="3" hidden="1">3</definedName>
    <definedName name="solver_ver" localSheetId="2" hidden="1">3</definedName>
    <definedName name="solver_ver" localSheetId="1" hidden="1">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7" i="5" l="1"/>
  <c r="G7" i="5"/>
  <c r="H7" i="5"/>
  <c r="I7" i="5"/>
  <c r="J7" i="5"/>
  <c r="E7" i="5"/>
  <c r="K3" i="5"/>
  <c r="K4" i="5"/>
  <c r="K5" i="5"/>
  <c r="K6" i="5"/>
  <c r="K2" i="5"/>
  <c r="G2" i="3"/>
  <c r="G2" i="2"/>
  <c r="G1" i="3"/>
  <c r="G1" i="2"/>
  <c r="G2" i="1"/>
  <c r="G1" i="1"/>
  <c r="K7" i="5" l="1"/>
  <c r="L2" i="5"/>
</calcChain>
</file>

<file path=xl/sharedStrings.xml><?xml version="1.0" encoding="utf-8"?>
<sst xmlns="http://schemas.openxmlformats.org/spreadsheetml/2006/main" count="32" uniqueCount="23">
  <si>
    <t>המבורגר</t>
  </si>
  <si>
    <t>סטייק</t>
  </si>
  <si>
    <t>פרגית</t>
  </si>
  <si>
    <t>שניצל</t>
  </si>
  <si>
    <t>כבד עוף</t>
  </si>
  <si>
    <t>Max Z</t>
  </si>
  <si>
    <t>^ערכי משתני ההחלטה</t>
  </si>
  <si>
    <t>פיצה</t>
  </si>
  <si>
    <t>פסטה</t>
  </si>
  <si>
    <t>רביולי</t>
  </si>
  <si>
    <t>ניוקי</t>
  </si>
  <si>
    <t>ריזוטו</t>
  </si>
  <si>
    <t>Maz Z</t>
  </si>
  <si>
    <t>סלט הבית</t>
  </si>
  <si>
    <t>מג'דרה</t>
  </si>
  <si>
    <t>סלט קינואה</t>
  </si>
  <si>
    <t>סלט אישי</t>
  </si>
  <si>
    <t>אילוץ 2</t>
  </si>
  <si>
    <t>ערכי משתני החלטה^</t>
  </si>
  <si>
    <t>סה"כ מנות ליום</t>
  </si>
  <si>
    <t>זמן עבודה לכל שעה</t>
  </si>
  <si>
    <t>&lt;&lt;זמן עבודה כולל</t>
  </si>
  <si>
    <t>פונקציית המטרה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</si>
</sst>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charset val="177"/>
      <scheme val="minor"/>
    </font>
    <font>
      <sz val="11"/>
      <color rgb="FF006100"/>
      <name val="Calibri"/>
      <family val="2"/>
      <charset val="177"/>
      <scheme val="minor"/>
    </font>
    <font>
      <sz val="11"/>
      <color rgb="FF9C0006"/>
      <name val="Calibri"/>
      <family val="2"/>
      <charset val="177"/>
      <scheme val="minor"/>
    </font>
    <font>
      <sz val="11"/>
      <color rgb="FF3F3F76"/>
      <name val="Calibri"/>
      <family val="2"/>
      <charset val="177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theme="4" tint="0.59999389629810485"/>
        <bgColor indexed="65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5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1" applyNumberFormat="0" applyAlignment="0" applyProtection="0"/>
    <xf numFmtId="0" fontId="1" fillId="5" borderId="0" applyNumberFormat="0" applyBorder="0" applyAlignment="0" applyProtection="0"/>
  </cellStyleXfs>
  <cellXfs count="9">
    <xf numFmtId="0" fontId="0" fillId="0" borderId="0" xfId="0"/>
    <xf numFmtId="0" fontId="2" fillId="2" borderId="0" xfId="1"/>
    <xf numFmtId="0" fontId="2" fillId="2" borderId="0" xfId="1" applyAlignment="1">
      <alignment horizontal="center"/>
    </xf>
    <xf numFmtId="0" fontId="0" fillId="0" borderId="0" xfId="0" applyAlignment="1">
      <alignment horizontal="center"/>
    </xf>
    <xf numFmtId="0" fontId="5" fillId="0" borderId="0" xfId="0" applyFont="1"/>
    <xf numFmtId="20" fontId="0" fillId="0" borderId="0" xfId="0" applyNumberFormat="1"/>
    <xf numFmtId="0" fontId="4" fillId="4" borderId="1" xfId="3"/>
    <xf numFmtId="0" fontId="1" fillId="5" borderId="0" xfId="4"/>
    <xf numFmtId="0" fontId="3" fillId="3" borderId="0" xfId="2"/>
  </cellXfs>
  <cellStyles count="5">
    <cellStyle name="40% - הדגשה1" xfId="4" builtinId="31"/>
    <cellStyle name="Normal" xfId="0" builtinId="0"/>
    <cellStyle name="טוב" xfId="1" builtinId="26"/>
    <cellStyle name="קלט" xfId="3" builtinId="20"/>
    <cellStyle name="רע" xfId="2" builtinId="2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B8E4A-B557-435D-87C3-A36D2288AF4C}">
  <dimension ref="A1:H7"/>
  <sheetViews>
    <sheetView rightToLeft="1" workbookViewId="0">
      <selection activeCell="A17" sqref="A17"/>
    </sheetView>
  </sheetViews>
  <sheetFormatPr defaultRowHeight="14.5" x14ac:dyDescent="0.35"/>
  <cols>
    <col min="1" max="1" width="8.7265625" style="4"/>
    <col min="4" max="4" width="17.08984375" style="3" customWidth="1"/>
  </cols>
  <sheetData>
    <row r="1" spans="1:8" x14ac:dyDescent="0.35">
      <c r="A1" s="4" t="s">
        <v>0</v>
      </c>
      <c r="B1">
        <v>50</v>
      </c>
      <c r="C1">
        <v>13</v>
      </c>
      <c r="D1" s="2">
        <v>6</v>
      </c>
      <c r="E1">
        <v>20</v>
      </c>
      <c r="G1" s="1">
        <f>SUMPRODUCT(B1:B5, D1:D5)</f>
        <v>2725</v>
      </c>
      <c r="H1" s="1" t="s">
        <v>5</v>
      </c>
    </row>
    <row r="2" spans="1:8" x14ac:dyDescent="0.35">
      <c r="A2" s="4" t="s">
        <v>1</v>
      </c>
      <c r="B2">
        <v>110</v>
      </c>
      <c r="C2">
        <v>12</v>
      </c>
      <c r="D2" s="2">
        <v>10</v>
      </c>
      <c r="E2">
        <v>10</v>
      </c>
      <c r="G2" s="1">
        <f>SUMPRODUCT(C1:C5, D1:D5)</f>
        <v>478</v>
      </c>
      <c r="H2" s="1" t="s">
        <v>17</v>
      </c>
    </row>
    <row r="3" spans="1:8" x14ac:dyDescent="0.35">
      <c r="A3" s="4" t="s">
        <v>2</v>
      </c>
      <c r="B3">
        <v>50</v>
      </c>
      <c r="C3">
        <v>10</v>
      </c>
      <c r="D3" s="2">
        <v>13</v>
      </c>
      <c r="E3">
        <v>13</v>
      </c>
    </row>
    <row r="4" spans="1:8" x14ac:dyDescent="0.35">
      <c r="A4" s="4" t="s">
        <v>3</v>
      </c>
      <c r="B4">
        <v>45</v>
      </c>
      <c r="C4">
        <v>10</v>
      </c>
      <c r="D4" s="2">
        <v>15</v>
      </c>
      <c r="E4">
        <v>16</v>
      </c>
    </row>
    <row r="5" spans="1:8" x14ac:dyDescent="0.35">
      <c r="A5" s="4" t="s">
        <v>4</v>
      </c>
      <c r="B5">
        <v>45</v>
      </c>
      <c r="C5">
        <v>15</v>
      </c>
      <c r="D5" s="2">
        <v>0</v>
      </c>
      <c r="E5">
        <v>7</v>
      </c>
    </row>
    <row r="7" spans="1:8" x14ac:dyDescent="0.35">
      <c r="D7" s="2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B66EF-D74B-4C25-A538-96FF94861CAA}">
  <dimension ref="A1:H7"/>
  <sheetViews>
    <sheetView rightToLeft="1" workbookViewId="0">
      <selection activeCell="M9" sqref="M9"/>
    </sheetView>
  </sheetViews>
  <sheetFormatPr defaultRowHeight="14.5" x14ac:dyDescent="0.35"/>
  <cols>
    <col min="1" max="1" width="8.7265625" style="4"/>
    <col min="4" max="4" width="17.26953125" customWidth="1"/>
  </cols>
  <sheetData>
    <row r="1" spans="1:8" x14ac:dyDescent="0.35">
      <c r="A1" s="4" t="s">
        <v>7</v>
      </c>
      <c r="B1">
        <v>66</v>
      </c>
      <c r="C1">
        <v>14</v>
      </c>
      <c r="D1" s="2">
        <v>11</v>
      </c>
      <c r="E1">
        <v>17</v>
      </c>
      <c r="G1" s="1">
        <f>SUMPRODUCT(B1:B5, D1:D5)</f>
        <v>2802</v>
      </c>
      <c r="H1" s="1" t="s">
        <v>12</v>
      </c>
    </row>
    <row r="2" spans="1:8" x14ac:dyDescent="0.35">
      <c r="A2" s="4" t="s">
        <v>8</v>
      </c>
      <c r="B2">
        <v>40</v>
      </c>
      <c r="C2">
        <v>7</v>
      </c>
      <c r="D2" s="2">
        <v>14</v>
      </c>
      <c r="E2">
        <v>14</v>
      </c>
      <c r="G2" s="1">
        <f>SUMPRODUCT(C1:C5, D1:D5)</f>
        <v>480</v>
      </c>
      <c r="H2" s="1" t="s">
        <v>17</v>
      </c>
    </row>
    <row r="3" spans="1:8" x14ac:dyDescent="0.35">
      <c r="A3" s="4" t="s">
        <v>9</v>
      </c>
      <c r="B3">
        <v>65</v>
      </c>
      <c r="C3">
        <v>9</v>
      </c>
      <c r="D3" s="2">
        <v>11</v>
      </c>
      <c r="E3">
        <v>11</v>
      </c>
    </row>
    <row r="4" spans="1:8" x14ac:dyDescent="0.35">
      <c r="A4" s="4" t="s">
        <v>10</v>
      </c>
      <c r="B4">
        <v>57</v>
      </c>
      <c r="C4">
        <v>9</v>
      </c>
      <c r="D4" s="2">
        <v>9</v>
      </c>
      <c r="E4">
        <v>9</v>
      </c>
    </row>
    <row r="5" spans="1:8" x14ac:dyDescent="0.35">
      <c r="A5" s="4" t="s">
        <v>11</v>
      </c>
      <c r="B5">
        <v>48</v>
      </c>
      <c r="C5">
        <v>8</v>
      </c>
      <c r="D5" s="2">
        <v>6</v>
      </c>
      <c r="E5">
        <v>6</v>
      </c>
    </row>
    <row r="7" spans="1:8" x14ac:dyDescent="0.35">
      <c r="D7" s="1" t="s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E0B9F-5729-4148-9578-DB514EE170AD}">
  <dimension ref="A1:H6"/>
  <sheetViews>
    <sheetView rightToLeft="1" workbookViewId="0">
      <selection activeCell="C12" sqref="C12"/>
    </sheetView>
  </sheetViews>
  <sheetFormatPr defaultRowHeight="14.5" x14ac:dyDescent="0.35"/>
  <cols>
    <col min="1" max="1" width="11.1796875" style="4" customWidth="1"/>
    <col min="4" max="4" width="16.6328125" customWidth="1"/>
  </cols>
  <sheetData>
    <row r="1" spans="1:8" x14ac:dyDescent="0.35">
      <c r="A1" s="4" t="s">
        <v>13</v>
      </c>
      <c r="B1">
        <v>66</v>
      </c>
      <c r="C1">
        <v>5</v>
      </c>
      <c r="D1" s="2">
        <v>17</v>
      </c>
      <c r="E1">
        <v>17</v>
      </c>
      <c r="G1" s="1">
        <f>SUMPRODUCT(B1:B5, D1:D5)</f>
        <v>3876</v>
      </c>
      <c r="H1" s="1" t="s">
        <v>5</v>
      </c>
    </row>
    <row r="2" spans="1:8" x14ac:dyDescent="0.35">
      <c r="A2" s="4" t="s">
        <v>14</v>
      </c>
      <c r="B2">
        <v>40</v>
      </c>
      <c r="C2">
        <v>7</v>
      </c>
      <c r="D2" s="2">
        <v>17</v>
      </c>
      <c r="E2">
        <v>17</v>
      </c>
      <c r="G2" s="1">
        <f>SUMPRODUCT(C1:C5, D1:D5)</f>
        <v>425</v>
      </c>
      <c r="H2" s="1" t="s">
        <v>17</v>
      </c>
    </row>
    <row r="3" spans="1:8" x14ac:dyDescent="0.35">
      <c r="A3" s="4" t="s">
        <v>15</v>
      </c>
      <c r="B3">
        <v>65</v>
      </c>
      <c r="C3">
        <v>7</v>
      </c>
      <c r="D3" s="2">
        <v>17</v>
      </c>
      <c r="E3">
        <v>17</v>
      </c>
    </row>
    <row r="4" spans="1:8" x14ac:dyDescent="0.35">
      <c r="A4" s="4" t="s">
        <v>16</v>
      </c>
      <c r="B4">
        <v>57</v>
      </c>
      <c r="C4">
        <v>6</v>
      </c>
      <c r="D4" s="2">
        <v>17</v>
      </c>
      <c r="E4">
        <v>17</v>
      </c>
    </row>
    <row r="6" spans="1:8" x14ac:dyDescent="0.35">
      <c r="D6" s="1" t="s">
        <v>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E13EB-5A77-4A3B-8F7F-BEBC8757AC96}">
  <dimension ref="A1:L8"/>
  <sheetViews>
    <sheetView rightToLeft="1" tabSelected="1" workbookViewId="0">
      <selection activeCell="O6" sqref="O6"/>
    </sheetView>
  </sheetViews>
  <sheetFormatPr defaultRowHeight="14.5" x14ac:dyDescent="0.35"/>
  <cols>
    <col min="5" max="5" width="15.08984375" customWidth="1"/>
    <col min="11" max="11" width="15" customWidth="1"/>
    <col min="12" max="12" width="15.1796875" customWidth="1"/>
  </cols>
  <sheetData>
    <row r="1" spans="1:12" x14ac:dyDescent="0.35">
      <c r="A1" s="4"/>
      <c r="E1" s="5"/>
      <c r="F1" s="5"/>
      <c r="G1" s="5"/>
      <c r="H1" s="5"/>
      <c r="I1" s="5"/>
      <c r="J1" s="5"/>
      <c r="K1" s="6" t="s">
        <v>19</v>
      </c>
      <c r="L1" s="7" t="s">
        <v>22</v>
      </c>
    </row>
    <row r="2" spans="1:12" x14ac:dyDescent="0.35">
      <c r="A2" s="4" t="s">
        <v>0</v>
      </c>
      <c r="B2">
        <v>50</v>
      </c>
      <c r="C2">
        <v>13</v>
      </c>
      <c r="D2">
        <v>20</v>
      </c>
      <c r="E2">
        <v>0</v>
      </c>
      <c r="F2">
        <v>5</v>
      </c>
      <c r="G2">
        <v>0</v>
      </c>
      <c r="H2">
        <v>0</v>
      </c>
      <c r="I2">
        <v>0</v>
      </c>
      <c r="J2">
        <v>0</v>
      </c>
      <c r="K2" s="6">
        <f>SUM(E2:J2)</f>
        <v>5</v>
      </c>
      <c r="L2" s="7">
        <f>SUMPRODUCT(B2:B6, K2:K6)</f>
        <v>2720</v>
      </c>
    </row>
    <row r="3" spans="1:12" x14ac:dyDescent="0.35">
      <c r="A3" s="4" t="s">
        <v>1</v>
      </c>
      <c r="B3">
        <v>110</v>
      </c>
      <c r="C3">
        <v>12</v>
      </c>
      <c r="D3">
        <v>10</v>
      </c>
      <c r="E3">
        <v>0</v>
      </c>
      <c r="F3">
        <v>1</v>
      </c>
      <c r="G3">
        <v>1</v>
      </c>
      <c r="H3">
        <v>5</v>
      </c>
      <c r="I3">
        <v>3</v>
      </c>
      <c r="J3">
        <v>0</v>
      </c>
      <c r="K3" s="6">
        <f t="shared" ref="K3:K6" si="0">SUM(E3:J3)</f>
        <v>10</v>
      </c>
    </row>
    <row r="4" spans="1:12" x14ac:dyDescent="0.35">
      <c r="A4" s="4" t="s">
        <v>2</v>
      </c>
      <c r="B4">
        <v>50</v>
      </c>
      <c r="C4">
        <v>10</v>
      </c>
      <c r="D4">
        <v>13</v>
      </c>
      <c r="E4">
        <v>0</v>
      </c>
      <c r="F4">
        <v>3</v>
      </c>
      <c r="G4">
        <v>8</v>
      </c>
      <c r="H4">
        <v>2</v>
      </c>
      <c r="I4">
        <v>0</v>
      </c>
      <c r="J4">
        <v>0</v>
      </c>
      <c r="K4" s="6">
        <f t="shared" si="0"/>
        <v>13</v>
      </c>
    </row>
    <row r="5" spans="1:12" x14ac:dyDescent="0.35">
      <c r="A5" s="4" t="s">
        <v>3</v>
      </c>
      <c r="B5">
        <v>45</v>
      </c>
      <c r="C5">
        <v>10</v>
      </c>
      <c r="D5">
        <v>16</v>
      </c>
      <c r="E5">
        <v>11</v>
      </c>
      <c r="F5">
        <v>1</v>
      </c>
      <c r="G5">
        <v>2</v>
      </c>
      <c r="H5">
        <v>1</v>
      </c>
      <c r="I5">
        <v>0</v>
      </c>
      <c r="J5">
        <v>0</v>
      </c>
      <c r="K5" s="6">
        <f t="shared" si="0"/>
        <v>15</v>
      </c>
    </row>
    <row r="6" spans="1:12" x14ac:dyDescent="0.35">
      <c r="A6" s="4" t="s">
        <v>4</v>
      </c>
      <c r="B6">
        <v>45</v>
      </c>
      <c r="C6">
        <v>15</v>
      </c>
      <c r="D6">
        <v>7</v>
      </c>
      <c r="E6">
        <v>0</v>
      </c>
      <c r="F6">
        <v>0</v>
      </c>
      <c r="G6">
        <v>0</v>
      </c>
      <c r="H6">
        <v>1</v>
      </c>
      <c r="I6">
        <v>0</v>
      </c>
      <c r="J6">
        <v>0</v>
      </c>
      <c r="K6" s="6">
        <f t="shared" si="0"/>
        <v>1</v>
      </c>
    </row>
    <row r="7" spans="1:12" x14ac:dyDescent="0.35">
      <c r="E7" s="8">
        <f>SUMPRODUCT($C$2:$C$6, E2:E6)</f>
        <v>110</v>
      </c>
      <c r="F7" s="8">
        <f t="shared" ref="F7:J7" si="1">SUMPRODUCT($C$2:$C$6, F2:F6)</f>
        <v>117</v>
      </c>
      <c r="G7" s="8">
        <f t="shared" si="1"/>
        <v>112</v>
      </c>
      <c r="H7" s="8">
        <f t="shared" si="1"/>
        <v>105</v>
      </c>
      <c r="I7" s="8">
        <f t="shared" si="1"/>
        <v>36</v>
      </c>
      <c r="J7" s="8">
        <f t="shared" si="1"/>
        <v>0</v>
      </c>
      <c r="K7" s="1">
        <f>SUM(E7:J7)</f>
        <v>480</v>
      </c>
      <c r="L7" s="1" t="s">
        <v>21</v>
      </c>
    </row>
    <row r="8" spans="1:12" x14ac:dyDescent="0.35">
      <c r="E8" s="8" t="s">
        <v>20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4</vt:i4>
      </vt:variant>
    </vt:vector>
  </HeadingPairs>
  <TitlesOfParts>
    <vt:vector size="4" baseType="lpstr">
      <vt:lpstr>בשרוני</vt:lpstr>
      <vt:lpstr>ויה איטלי</vt:lpstr>
      <vt:lpstr>הירוקה</vt:lpstr>
      <vt:lpstr>בשרוני-חדש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לינוי בוני</dc:creator>
  <cp:lastModifiedBy>לינוי בוני</cp:lastModifiedBy>
  <dcterms:created xsi:type="dcterms:W3CDTF">2026-05-01T13:58:09Z</dcterms:created>
  <dcterms:modified xsi:type="dcterms:W3CDTF">2026-05-05T15:13:16Z</dcterms:modified>
</cp:coreProperties>
</file>